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6acd5e9b749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herche images" sheetId="1" r:id="Rb6ae5947dbd1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7211C"/>
      <x:name val="Arial"/>
    </x:font>
    <x:font>
      <x:b/>
      <x:sz val="16"/>
      <x:color rgb="FF17372C"/>
      <x:name val="Arial"/>
    </x:font>
    <x:font>
      <x:i/>
      <x:sz val="10"/>
      <x:color rgb="FF5B665F"/>
      <x:name val="Arial"/>
    </x:font>
    <x:font>
      <x:b/>
      <x:sz val="10"/>
      <x:color rgb="FF17372C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FEA"/>
      </x:patternFill>
    </x:fill>
    <x:fill>
      <x:patternFill patternType="solid">
        <x:fgColor rgb="FF17372C"/>
      </x:patternFill>
    </x:fill>
  </x:fills>
  <x:borders count="4">
    <x:border/>
    <x:border>
      <x:left style="thin">
        <x:color rgb="FFB8C7BE"/>
      </x:left>
      <x:top style="thin">
        <x:color rgb="FFB8C7BE"/>
      </x:top>
      <x:bottom style="thin">
        <x:color rgb="FFB8C7BE"/>
      </x:bottom>
    </x:border>
    <x:border>
      <x:top style="thin">
        <x:color rgb="FFB8C7BE"/>
      </x:top>
      <x:bottom style="thin">
        <x:color rgb="FFB8C7BE"/>
      </x:bottom>
    </x:border>
    <x:border>
      <x:right style="thin">
        <x:color rgb="FFB8C7BE"/>
      </x:right>
      <x:top style="thin">
        <x:color rgb="FFB8C7BE"/>
      </x:top>
      <x:bottom style="thin">
        <x:color rgb="FFB8C7BE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1C6B36"/>
      </x:font>
      <x:fill>
        <x:patternFill patternType="solid">
          <x:bgColor rgb="FFE4F4E8"/>
        </x:patternFill>
      </x:fill>
    </x:dxf>
    <x:dxf>
      <x:font>
        <x:b/>
        <x:color rgb="FF255C99"/>
      </x:font>
      <x:fill>
        <x:patternFill patternType="solid">
          <x:bgColor rgb="FFE7EFFA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A52A2A"/>
      </x:font>
      <x:fill>
        <x:patternFill patternType="solid">
          <x:bgColor rgb="FFFCE8E6"/>
        </x:patternFill>
      </x:fill>
    </x:dxf>
    <x:dxf>
      <x:font>
        <x:b/>
        <x:color rgb="FF1C6B36"/>
      </x:font>
      <x:fill>
        <x:patternFill patternType="solid">
          <x:bgColor rgb="FFE4F4E8"/>
        </x:patternFill>
      </x:fill>
    </x:dxf>
    <x:dxf>
      <x:font>
        <x:b/>
        <x:color rgb="FFA52A2A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150bc4bedc4ffb" /><Relationship Type="http://schemas.openxmlformats.org/officeDocument/2006/relationships/theme" Target="/xl/theme/theme1.xml" Id="Rd6655adb8d7d4845" /><Relationship Type="http://schemas.openxmlformats.org/officeDocument/2006/relationships/sharedStrings" Target="/xl/sharedStrings.xml" Id="R06e974094b7149db" /><Relationship Type="http://schemas.openxmlformats.org/officeDocument/2006/relationships/worksheet" Target="/xl/worksheets/sheet1.xml" Id="Rb6ae5947dbd14711" /></Relationships>
</file>

<file path=xl/tables/table1.xml><?xml version="1.0" encoding="utf-8"?>
<x:table xmlns:x="http://schemas.openxmlformats.org/spreadsheetml/2006/main" id="1" name="ImageResearchTable" displayName="ImageResearchTable" ref="A8:J56" headerRowCount="1" totalsRowCount="0" totalsRowShown="0">
  <x:autoFilter ref="A8:J56"/>
  <x:tableColumns count="10">
    <x:tableColumn id="1" name="Lieu"/>
    <x:tableColumn id="2" name="Images demandées"/>
    <x:tableColumn id="3" name="Recherche Unsplash"/>
    <x:tableColumn id="4" name="Candidat principal"/>
    <x:tableColumn id="5" name="Candidat alternatif"/>
    <x:tableColumn id="6" name="Résultat"/>
    <x:tableColumn id="7" name="Licence commerciale"/>
    <x:tableColumn id="8" name="Correspondance au lieu"/>
    <x:tableColumn id="9" name="Notes"/>
    <x:tableColumn id="10" name="Validation fina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7505de780b4f0c" /></Relationships>
</file>

<file path=xl/worksheets/sheet1.xml><?xml version="1.0" encoding="utf-8"?>
<x:worksheet xmlns:x="http://schemas.openxmlformats.org/spreadsheetml/2006/main">
  <x:sheetPr>
    <x:tabColor rgb="FF17372C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9" hidden="0" customWidth="1"/>
    <x:col min="2" max="2" width="12" hidden="0" customWidth="1"/>
    <x:col min="3" max="3" width="38" hidden="0" customWidth="1"/>
    <x:col min="4" max="4" width="46" hidden="0" customWidth="1"/>
    <x:col min="5" max="5" width="46" hidden="0" customWidth="1"/>
    <x:col min="6" max="6" width="23" hidden="0" customWidth="1"/>
    <x:col min="7" max="7" width="25" hidden="0" customWidth="1"/>
    <x:col min="8" max="8" width="25" hidden="0" customWidth="1"/>
    <x:col min="9" max="9" width="48" hidden="0" customWidth="1"/>
    <x:col min="10" max="10" width="20" hidden="0" customWidth="1"/>
  </x:cols>
  <x:sheetData>
    <x:row r="2" ht="28" customHeight="1">
      <x:c r="A2" s="2" t="str">
        <x:v>Recherche de photos pour les 48 lieux de Sumba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32" customHeight="1">
      <x:c r="A3" s="4" t="str">
        <x:v>Les liens proposés servent de candidats. Vérifiez la licence commerciale, l’auteur, la date et la correspondance géographique avant utilisation.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5" customHeight="1">
      <x:c r="A5" s="11" t="str">
        <x:v>Lieux</x:v>
      </x:c>
      <x:c r="B5" s="12" t="n">
        <x:f>COUNTA(A9:A56)</x:f>
        <x:v>48</x:v>
      </x:c>
      <x:c r="C5" s="12" t="str">
        <x:v>Unsplash exact</x:v>
      </x:c>
      <x:c r="D5" s="12" t="n">
        <x:f>COUNTIF(F9:F56,"Exact Unsplash")</x:f>
        <x:v>6</x:v>
      </x:c>
      <x:c r="E5" s="12" t="str">
        <x:v>Wikimedia exact</x:v>
      </x:c>
      <x:c r="F5" s="12" t="n">
        <x:f>COUNTIF(F9:F56,"Exact Wikimedia Commons")</x:f>
        <x:v>6</x:v>
      </x:c>
      <x:c r="G5" s="12" t="str">
        <x:v>Autre source exacte</x:v>
      </x:c>
      <x:c r="H5" s="12" t="n">
        <x:f>COUNTIF(F9:F56,"Exact source autre")</x:f>
        <x:v>22</x:v>
      </x:c>
      <x:c r="I5" s="12" t="str">
        <x:v>Sans résultat exact</x:v>
      </x:c>
      <x:c r="J5" s="13" t="n">
        <x:f>COUNTIF(F9:F56,"Aucun résultat exact")</x:f>
        <x:v>14</x:v>
      </x:c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34" customHeight="1">
      <x:c r="A8" s="18" t="str">
        <x:v>Lieu</x:v>
      </x:c>
      <x:c r="B8" s="18" t="str">
        <x:v>Images demandées</x:v>
      </x:c>
      <x:c r="C8" s="18" t="str">
        <x:v>Recherche Unsplash</x:v>
      </x:c>
      <x:c r="D8" s="18" t="str">
        <x:v>Candidat principal</x:v>
      </x:c>
      <x:c r="E8" s="18" t="str">
        <x:v>Candidat alternatif</x:v>
      </x:c>
      <x:c r="F8" s="18" t="str">
        <x:v>Résultat</x:v>
      </x:c>
      <x:c r="G8" s="18" t="str">
        <x:v>Licence commerciale</x:v>
      </x:c>
      <x:c r="H8" s="18" t="str">
        <x:v>Correspondance au lieu</x:v>
      </x:c>
      <x:c r="I8" s="18" t="str">
        <x:v>Notes</x:v>
      </x:c>
      <x:c r="J8" s="18" t="str">
        <x:v>Validation finale</x:v>
      </x:c>
    </x:row>
    <x:row r="9" ht="44" customHeight="1">
      <x:c r="A9" s="19" t="str">
        <x:v>Anakalang</x:v>
      </x:c>
      <x:c r="B9" s="20" t="n">
        <x:v>3</x:v>
      </x:c>
      <x:c r="C9" s="19" t="str">
        <x:v>https://unsplash.com/s/photos/anakalang-sumba</x:v>
      </x:c>
      <x:c r="D9" s="19" t="str"/>
      <x:c r="E9" s="19" t="str"/>
      <x:c r="F9" s="21" t="str">
        <x:v>Aucun résultat exact</x:v>
      </x:c>
      <x:c r="G9" s="21" t="str">
        <x:v>Non applicable</x:v>
      </x:c>
      <x:c r="H9" s="21" t="str">
        <x:v>À confirmer</x:v>
      </x:c>
      <x:c r="I9" s="21" t="str">
        <x:v>Chercher une photo géolocalisée des mégalithes d’Anakalang.</x:v>
      </x:c>
      <x:c r="J9" s="20" t="str">
        <x:v>À vérifier</x:v>
      </x:c>
    </x:row>
    <x:row r="10" ht="44" customHeight="1">
      <x:c r="A10" s="19" t="str">
        <x:v>Buku Bani</x:v>
      </x:c>
      <x:c r="B10" s="20" t="n">
        <x:v>1</x:v>
      </x:c>
      <x:c r="C10" s="19" t="str">
        <x:v>https://unsplash.com/s/photos/buku-bani-sumba</x:v>
      </x:c>
      <x:c r="D10" s="19" t="str"/>
      <x:c r="E10" s="19" t="str"/>
      <x:c r="F10" s="21" t="str">
        <x:v>Aucun résultat exact</x:v>
      </x:c>
      <x:c r="G10" s="21" t="str">
        <x:v>Non applicable</x:v>
      </x:c>
      <x:c r="H10" s="21" t="str">
        <x:v>À confirmer</x:v>
      </x:c>
      <x:c r="I10" s="21" t="str">
        <x:v>Demander une photo au client ou à un guide local.</x:v>
      </x:c>
      <x:c r="J10" s="20" t="str">
        <x:v>À vérifier</x:v>
      </x:c>
    </x:row>
    <x:row r="11" ht="44" customHeight="1">
      <x:c r="A11" s="19" t="str">
        <x:v>Hiliwuku</x:v>
      </x:c>
      <x:c r="B11" s="20" t="n">
        <x:v>1</x:v>
      </x:c>
      <x:c r="C11" s="19" t="str">
        <x:v>https://unsplash.com/s/photos/hiliwuku-sumba</x:v>
      </x:c>
      <x:c r="D11" s="19" t="str"/>
      <x:c r="E11" s="19" t="str"/>
      <x:c r="F11" s="21" t="str">
        <x:v>Aucun résultat exact</x:v>
      </x:c>
      <x:c r="G11" s="21" t="str">
        <x:v>Non applicable</x:v>
      </x:c>
      <x:c r="H11" s="21" t="str">
        <x:v>À confirmer</x:v>
      </x:c>
      <x:c r="I11" s="21" t="str">
        <x:v>Aucun résultat Unsplash exact indexé.</x:v>
      </x:c>
      <x:c r="J11" s="20" t="str">
        <x:v>À vérifier</x:v>
      </x:c>
    </x:row>
    <x:row r="12" ht="44" customHeight="1">
      <x:c r="A12" s="19" t="str">
        <x:v>Kerewei</x:v>
      </x:c>
      <x:c r="B12" s="20" t="n">
        <x:v>2</x:v>
      </x:c>
      <x:c r="C12" s="19" t="str">
        <x:v>https://unsplash.com/s/photos/kerewei-beach-sumba</x:v>
      </x:c>
      <x:c r="D12" s="19" t="str"/>
      <x:c r="E12" s="19" t="str"/>
      <x:c r="F12" s="21" t="str">
        <x:v>Aucun résultat exact</x:v>
      </x:c>
      <x:c r="G12" s="21" t="str">
        <x:v>Non applicable</x:v>
      </x:c>
      <x:c r="H12" s="21" t="str">
        <x:v>À confirmer</x:v>
      </x:c>
      <x:c r="I12" s="21" t="str">
        <x:v>Ne pas remplacer par une plage générique sans validation.</x:v>
      </x:c>
      <x:c r="J12" s="20" t="str">
        <x:v>À vérifier</x:v>
      </x:c>
    </x:row>
    <x:row r="13" ht="44" customHeight="1">
      <x:c r="A13" s="19" t="str">
        <x:v>Koalat</x:v>
      </x:c>
      <x:c r="B13" s="20" t="n">
        <x:v>1</x:v>
      </x:c>
      <x:c r="C13" s="19" t="str">
        <x:v>https://unsplash.com/s/photos/koalat-waterfall-sumba</x:v>
      </x:c>
      <x:c r="D13" s="19" t="str"/>
      <x:c r="E13" s="19" t="str"/>
      <x:c r="F13" s="21" t="str">
        <x:v>Aucun résultat exact</x:v>
      </x:c>
      <x:c r="G13" s="21" t="str">
        <x:v>Non applicable</x:v>
      </x:c>
      <x:c r="H13" s="21" t="str">
        <x:v>À confirmer</x:v>
      </x:c>
      <x:c r="I13" s="21" t="str">
        <x:v>Aucun résultat exact trouvé.</x:v>
      </x:c>
      <x:c r="J13" s="20" t="str">
        <x:v>À vérifier</x:v>
      </x:c>
    </x:row>
    <x:row r="14" ht="44" customHeight="1">
      <x:c r="A14" s="19" t="str">
        <x:v>Lambanapu</x:v>
      </x:c>
      <x:c r="B14" s="20" t="n">
        <x:v>1</x:v>
      </x:c>
      <x:c r="C14" s="19" t="str">
        <x:v>https://unsplash.com/s/photos/lambanapu-sumba</x:v>
      </x:c>
      <x:c r="D14" s="19" t="str"/>
      <x:c r="E14" s="19" t="str"/>
      <x:c r="F14" s="21" t="str">
        <x:v>Aucun résultat exact</x:v>
      </x:c>
      <x:c r="G14" s="21" t="str">
        <x:v>Non applicable</x:v>
      </x:c>
      <x:c r="H14" s="21" t="str">
        <x:v>À confirmer</x:v>
      </x:c>
      <x:c r="I14" s="21" t="str">
        <x:v>Aucun résultat exact trouvé.</x:v>
      </x:c>
      <x:c r="J14" s="20" t="str">
        <x:v>À vérifier</x:v>
      </x:c>
    </x:row>
    <x:row r="15" ht="44" customHeight="1">
      <x:c r="A15" s="19" t="str">
        <x:v>Lapopu</x:v>
      </x:c>
      <x:c r="B15" s="20" t="n">
        <x:v>3</x:v>
      </x:c>
      <x:c r="C15" s="19" t="str">
        <x:v>https://unsplash.com/s/photos/lapopu-waterfall-sumba</x:v>
      </x:c>
      <x:c r="D15" s="19" t="str">
        <x:v>https://commons.wikimedia.org/wiki/File:Air_Terjun_Lapopu,_Sumba_Barat.jpg</x:v>
      </x:c>
      <x:c r="E15" s="19" t="str">
        <x:v>https://commons.wikimedia.org/wiki/Category:Lapopu_Waterfall</x:v>
      </x:c>
      <x:c r="F15" s="21" t="str">
        <x:v>Exact Wikimedia Commons</x:v>
      </x:c>
      <x:c r="G15" s="21" t="str">
        <x:v>À vérifier (CC BY-SA)</x:v>
      </x:c>
      <x:c r="H15" s="21" t="str">
        <x:v>Lieu indiqué explicitement</x:v>
      </x:c>
      <x:c r="I15" s="21" t="str">
        <x:v>Photo exacte disponible sur Wikimedia Commons.</x:v>
      </x:c>
      <x:c r="J15" s="20" t="str">
        <x:v>À vérifier</x:v>
      </x:c>
    </x:row>
    <x:row r="16" ht="44" customHeight="1">
      <x:c r="A16" s="19" t="str">
        <x:v>Lokomboro</x:v>
      </x:c>
      <x:c r="B16" s="20" t="n">
        <x:v>3</x:v>
      </x:c>
      <x:c r="C16" s="19" t="str">
        <x:v>https://unsplash.com/s/photos/lokomboro-waterfall-sumba</x:v>
      </x:c>
      <x:c r="D16" s="19" t="str"/>
      <x:c r="E16" s="19" t="str"/>
      <x:c r="F16" s="21" t="str">
        <x:v>Aucun résultat exact</x:v>
      </x:c>
      <x:c r="G16" s="21" t="str">
        <x:v>Non applicable</x:v>
      </x:c>
      <x:c r="H16" s="21" t="str">
        <x:v>À confirmer</x:v>
      </x:c>
      <x:c r="I16" s="21" t="str">
        <x:v>Aucun résultat exact trouvé.</x:v>
      </x:c>
      <x:c r="J16" s="20" t="str">
        <x:v>À vérifier</x:v>
      </x:c>
    </x:row>
    <x:row r="17" ht="44" customHeight="1">
      <x:c r="A17" s="19" t="str">
        <x:v>Mananga Aba</x:v>
      </x:c>
      <x:c r="B17" s="20" t="n">
        <x:v>1</x:v>
      </x:c>
      <x:c r="C17" s="19" t="str">
        <x:v>https://unsplash.com/s/photos/mananga-aba-beach-sumba</x:v>
      </x:c>
      <x:c r="D17" s="19" t="str"/>
      <x:c r="E17" s="19" t="str">
        <x:v>https://en.wikipedia.org/wiki/Southwest_Sumba_Regency</x:v>
      </x:c>
      <x:c r="F17" s="21" t="str">
        <x:v>Exact source autre</x:v>
      </x:c>
      <x:c r="G17" s="21" t="str">
        <x:v>Licence de la photo à vérifier</x:v>
      </x:c>
      <x:c r="H17" s="21" t="str">
        <x:v>Lieu mentionné par la source</x:v>
      </x:c>
      <x:c r="I17" s="21" t="str">
        <x:v>Source informative, pas une autorisation de réutilisation.</x:v>
      </x:c>
      <x:c r="J17" s="20" t="str">
        <x:v>À vérifier</x:v>
      </x:c>
    </x:row>
    <x:row r="18" ht="44" customHeight="1">
      <x:c r="A18" s="19" t="str">
        <x:v>Mandorak</x:v>
      </x:c>
      <x:c r="B18" s="20" t="n">
        <x:v>3</x:v>
      </x:c>
      <x:c r="C18" s="19" t="str">
        <x:v>https://unsplash.com/s/photos/mandorak-beach-sumba</x:v>
      </x:c>
      <x:c r="D18" s="19" t="str"/>
      <x:c r="E18" s="19" t="str">
        <x:v>https://en.wikipedia.org/wiki/Southwest_Sumba_Regency</x:v>
      </x:c>
      <x:c r="F18" s="21" t="str">
        <x:v>Exact source autre</x:v>
      </x:c>
      <x:c r="G18" s="21" t="str">
        <x:v>Licence de la photo à vérifier</x:v>
      </x:c>
      <x:c r="H18" s="21" t="str">
        <x:v>Lieu mentionné explicitement</x:v>
      </x:c>
      <x:c r="I18" s="21" t="str">
        <x:v>Rechercher le fichier original de la photo de Mandorak.</x:v>
      </x:c>
      <x:c r="J18" s="20" t="str">
        <x:v>À vérifier</x:v>
      </x:c>
    </x:row>
    <x:row r="19" ht="44" customHeight="1">
      <x:c r="A19" s="19" t="str">
        <x:v>Manola</x:v>
      </x:c>
      <x:c r="B19" s="20" t="n">
        <x:v>1</x:v>
      </x:c>
      <x:c r="C19" s="19" t="str">
        <x:v>https://unsplash.com/s/photos/manola-sumba</x:v>
      </x:c>
      <x:c r="D19" s="19" t="str"/>
      <x:c r="E19" s="19" t="str"/>
      <x:c r="F19" s="21" t="str">
        <x:v>Aucun résultat exact</x:v>
      </x:c>
      <x:c r="G19" s="21" t="str">
        <x:v>Non applicable</x:v>
      </x:c>
      <x:c r="H19" s="21" t="str">
        <x:v>À confirmer</x:v>
      </x:c>
      <x:c r="I19" s="21" t="str">
        <x:v>Aucun résultat exact trouvé.</x:v>
      </x:c>
      <x:c r="J19" s="20" t="str">
        <x:v>À vérifier</x:v>
      </x:c>
    </x:row>
    <x:row r="20" ht="44" customHeight="1">
      <x:c r="A20" s="19" t="str">
        <x:v>Marosi</x:v>
      </x:c>
      <x:c r="B20" s="20" t="n">
        <x:v>3</x:v>
      </x:c>
      <x:c r="C20" s="19" t="str">
        <x:v>https://unsplash.com/s/photos/marosi-beach-sumba</x:v>
      </x:c>
      <x:c r="D20" s="19" t="str"/>
      <x:c r="E20" s="19" t="str">
        <x:v>https://www.shutterstock.com/id/search/marosi</x:v>
      </x:c>
      <x:c r="F20" s="21" t="str">
        <x:v>Exact source autre</x:v>
      </x:c>
      <x:c r="G20" s="21" t="str">
        <x:v>Payante / licence à acheter</x:v>
      </x:c>
      <x:c r="H20" s="21" t="str">
        <x:v>Lieu indiqué explicitement</x:v>
      </x:c>
      <x:c r="I20" s="21" t="str">
        <x:v>Des photos exactes existent sur une banque payante.</x:v>
      </x:c>
      <x:c r="J20" s="20" t="str">
        <x:v>À vérifier</x:v>
      </x:c>
    </x:row>
    <x:row r="21" ht="44" customHeight="1">
      <x:c r="A21" s="19" t="str">
        <x:v>Matayangu</x:v>
      </x:c>
      <x:c r="B21" s="20" t="n">
        <x:v>3</x:v>
      </x:c>
      <x:c r="C21" s="19" t="str">
        <x:v>https://unsplash.com/s/photos/matayangu-waterfall-sumba</x:v>
      </x:c>
      <x:c r="D21" s="19" t="str"/>
      <x:c r="E21" s="19" t="str">
        <x:v>https://sumbaterkini.com/2026/07/24/tips-berwisata-ke-air-terjun-matayangu-menemukan-harmoni-di-balik-keindahan-alam-sumba/</x:v>
      </x:c>
      <x:c r="F21" s="21" t="str">
        <x:v>Exact source autre</x:v>
      </x:c>
      <x:c r="G21" s="21" t="str">
        <x:v>Droits éditoriaux à vérifier</x:v>
      </x:c>
      <x:c r="H21" s="21" t="str">
        <x:v>Lieu indiqué explicitement</x:v>
      </x:c>
      <x:c r="I21" s="21" t="str">
        <x:v>Ne pas télécharger sans autorisation.</x:v>
      </x:c>
      <x:c r="J21" s="20" t="str">
        <x:v>À vérifier</x:v>
      </x:c>
    </x:row>
    <x:row r="22" ht="44" customHeight="1">
      <x:c r="A22" s="19" t="str">
        <x:v>Mbawana</x:v>
      </x:c>
      <x:c r="B22" s="20" t="n">
        <x:v>2</x:v>
      </x:c>
      <x:c r="C22" s="19" t="str">
        <x:v>https://unsplash.com/s/photos/mbawana-beach-sumba</x:v>
      </x:c>
      <x:c r="D22" s="19" t="str">
        <x:v>https://unsplash.com/photos/sunset-through-a-natural-rock-archway-on-beach-8cRxrSZOuis</x:v>
      </x:c>
      <x:c r="E22" s="19" t="str">
        <x:v>https://commons.wikimedia.org/wiki/File:Pantai_Mbawana,_Sumba_Barat_Daya.jpg</x:v>
      </x:c>
      <x:c r="F22" s="21" t="str">
        <x:v>Exact Unsplash</x:v>
      </x:c>
      <x:c r="G22" s="21" t="str">
        <x:v>À vérifier sur la page Unsplash</x:v>
      </x:c>
      <x:c r="H22" s="21" t="str">
        <x:v>Lieu et coordonnées indiqués</x:v>
      </x:c>
      <x:c r="I22" s="21" t="str">
        <x:v>Attention : l’arche rocheuse s’est effondrée en 2020 ; éviter de présenter cette vue comme actuelle.</x:v>
      </x:c>
      <x:c r="J22" s="20" t="str">
        <x:v>À vérifier</x:v>
      </x:c>
    </x:row>
    <x:row r="23" ht="44" customHeight="1">
      <x:c r="A23" s="19" t="str">
        <x:v>Melolo</x:v>
      </x:c>
      <x:c r="B23" s="20" t="n">
        <x:v>3</x:v>
      </x:c>
      <x:c r="C23" s="19" t="str">
        <x:v>https://unsplash.com/s/photos/melolo-sumba</x:v>
      </x:c>
      <x:c r="D23" s="19" t="str"/>
      <x:c r="E23" s="19" t="str">
        <x:v>https://www.tripadvisor.com/LocationPhotos-g15880428-Melolo_Sumba_East_Nusa_Tenggara.html</x:v>
      </x:c>
      <x:c r="F23" s="21" t="str">
        <x:v>Exact source autre</x:v>
      </x:c>
      <x:c r="G23" s="21" t="str">
        <x:v>Réutilisation probablement interdite</x:v>
      </x:c>
      <x:c r="H23" s="21" t="str">
        <x:v>Lieu indiqué explicitement</x:v>
      </x:c>
      <x:c r="I23" s="21" t="str">
        <x:v>Utiliser uniquement pour identifier le lieu, pas comme source finale.</x:v>
      </x:c>
      <x:c r="J23" s="20" t="str">
        <x:v>À vérifier</x:v>
      </x:c>
    </x:row>
    <x:row r="24" ht="44" customHeight="1">
      <x:c r="A24" s="19" t="str">
        <x:v>Ndapayami</x:v>
      </x:c>
      <x:c r="B24" s="20" t="n">
        <x:v>1</x:v>
      </x:c>
      <x:c r="C24" s="19" t="str">
        <x:v>https://unsplash.com/s/photos/ndapayami-hill-sumba</x:v>
      </x:c>
      <x:c r="D24" s="19" t="str"/>
      <x:c r="E24" s="19" t="str">
        <x:v>https://www.mytrip.co.id/article/bukit-ndapayami-sumba-ntt</x:v>
      </x:c>
      <x:c r="F24" s="21" t="str">
        <x:v>Exact source autre</x:v>
      </x:c>
      <x:c r="G24" s="21" t="str">
        <x:v>Droits à demander</x:v>
      </x:c>
      <x:c r="H24" s="21" t="str">
        <x:v>Lieu indiqué explicitement</x:v>
      </x:c>
      <x:c r="I24" s="21" t="str">
        <x:v>Bon repère visuel, mais licence non fournie.</x:v>
      </x:c>
      <x:c r="J24" s="20" t="str">
        <x:v>À vérifier</x:v>
      </x:c>
    </x:row>
    <x:row r="25" ht="44" customHeight="1">
      <x:c r="A25" s="19" t="str">
        <x:v>Palindi Piarakuku</x:v>
      </x:c>
      <x:c r="B25" s="20" t="n">
        <x:v>1</x:v>
      </x:c>
      <x:c r="C25" s="19" t="str">
        <x:v>https://unsplash.com/s/photos/palindi-piarakuku-sumba</x:v>
      </x:c>
      <x:c r="D25" s="19" t="str"/>
      <x:c r="E25" s="19" t="str">
        <x:v>https://agirlnamedclara.com/chasing-hills-savannas-and-sunsets-in-sumba/</x:v>
      </x:c>
      <x:c r="F25" s="21" t="str">
        <x:v>Exact source autre</x:v>
      </x:c>
      <x:c r="G25" s="21" t="str">
        <x:v>Droits à demander</x:v>
      </x:c>
      <x:c r="H25" s="21" t="str">
        <x:v>Lieu indiqué explicitement</x:v>
      </x:c>
      <x:c r="I25" s="21" t="str">
        <x:v>Article avec plusieurs photos du lieu.</x:v>
      </x:c>
      <x:c r="J25" s="20" t="str">
        <x:v>À vérifier</x:v>
      </x:c>
    </x:row>
    <x:row r="26" ht="44" customHeight="1">
      <x:c r="A26" s="19" t="str">
        <x:v>Pantai Kita</x:v>
      </x:c>
      <x:c r="B26" s="20" t="n">
        <x:v>1</x:v>
      </x:c>
      <x:c r="C26" s="19" t="str">
        <x:v>https://unsplash.com/s/photos/pantai-kita-sumba</x:v>
      </x:c>
      <x:c r="D26" s="19" t="str"/>
      <x:c r="E26" s="19" t="str"/>
      <x:c r="F26" s="21" t="str">
        <x:v>Aucun résultat exact</x:v>
      </x:c>
      <x:c r="G26" s="21" t="str">
        <x:v>Non applicable</x:v>
      </x:c>
      <x:c r="H26" s="21" t="str">
        <x:v>À confirmer</x:v>
      </x:c>
      <x:c r="I26" s="21" t="str">
        <x:v>Le nom est ambigu ; obtenir les coordonnées exactes du client.</x:v>
      </x:c>
      <x:c r="J26" s="20" t="str">
        <x:v>À vérifier</x:v>
      </x:c>
    </x:row>
    <x:row r="27" ht="44" customHeight="1">
      <x:c r="A27" s="19" t="str">
        <x:v>Pasola Kodi</x:v>
      </x:c>
      <x:c r="B27" s="20" t="n">
        <x:v>2</x:v>
      </x:c>
      <x:c r="C27" s="19" t="str">
        <x:v>https://unsplash.com/s/photos/pasola-kodi-sumba</x:v>
      </x:c>
      <x:c r="D27" s="19" t="str"/>
      <x:c r="E27" s="19" t="str">
        <x:v>https://www.alamyimages.fr/festival-de-pasola-a-kodi-sumba-indonesie-image434666337.html</x:v>
      </x:c>
      <x:c r="F27" s="21" t="str">
        <x:v>Exact source autre</x:v>
      </x:c>
      <x:c r="G27" s="21" t="str">
        <x:v>Payante / licence à acheter</x:v>
      </x:c>
      <x:c r="H27" s="21" t="str">
        <x:v>Lieu et événement indiqués</x:v>
      </x:c>
      <x:c r="I27" s="21" t="str">
        <x:v>Image commerciale payante ; vérifier les autorisations de personnes.</x:v>
      </x:c>
      <x:c r="J27" s="20" t="str">
        <x:v>À vérifier</x:v>
      </x:c>
    </x:row>
    <x:row r="28" ht="44" customHeight="1">
      <x:c r="A28" s="19" t="str">
        <x:v>Pero</x:v>
      </x:c>
      <x:c r="B28" s="20" t="n">
        <x:v>1</x:v>
      </x:c>
      <x:c r="C28" s="19" t="str">
        <x:v>https://unsplash.com/s/photos/pero-beach-sumba</x:v>
      </x:c>
      <x:c r="D28" s="19" t="str"/>
      <x:c r="E28" s="19" t="str">
        <x:v>https://www.travelfish.org/sight_profile/indonesia/east_nusa_tenggara/sumba/waitabula/3727</x:v>
      </x:c>
      <x:c r="F28" s="21" t="str">
        <x:v>Exact source autre</x:v>
      </x:c>
      <x:c r="G28" s="21" t="str">
        <x:v>Droits à demander</x:v>
      </x:c>
      <x:c r="H28" s="21" t="str">
        <x:v>Lieu indiqué explicitement</x:v>
      </x:c>
      <x:c r="I28" s="21" t="str">
        <x:v>Source de repérage uniquement.</x:v>
      </x:c>
      <x:c r="J28" s="20" t="str">
        <x:v>À vérifier</x:v>
      </x:c>
    </x:row>
    <x:row r="29" ht="44" customHeight="1">
      <x:c r="A29" s="19" t="str">
        <x:v>Praigoli</x:v>
      </x:c>
      <x:c r="B29" s="20" t="n">
        <x:v>1</x:v>
      </x:c>
      <x:c r="C29" s="19" t="str">
        <x:v>https://unsplash.com/s/photos/praigoli-village-sumba</x:v>
      </x:c>
      <x:c r="D29" s="19" t="str"/>
      <x:c r="E29" s="19" t="str">
        <x:v>https://images.cnrs.fr/en/recherche/geographical_area/40606/human_presence/without-person-53652/topic/52145</x:v>
      </x:c>
      <x:c r="F29" s="21" t="str">
        <x:v>Exact source autre</x:v>
      </x:c>
      <x:c r="G29" s="21" t="str">
        <x:v>Licence CNRS à demander</x:v>
      </x:c>
      <x:c r="H29" s="21" t="str">
        <x:v>Lieu indiqué explicitement</x:v>
      </x:c>
      <x:c r="I29" s="21" t="str">
        <x:v>La banque CNRS contient plusieurs photos exactes.</x:v>
      </x:c>
      <x:c r="J29" s="20" t="str">
        <x:v>À vérifier</x:v>
      </x:c>
    </x:row>
    <x:row r="30" ht="44" customHeight="1">
      <x:c r="A30" s="19" t="str">
        <x:v>Praijing</x:v>
      </x:c>
      <x:c r="B30" s="20" t="n">
        <x:v>3</x:v>
      </x:c>
      <x:c r="C30" s="19" t="str">
        <x:v>https://unsplash.com/s/photos/praijing-village-sumba</x:v>
      </x:c>
      <x:c r="D30" s="19" t="str">
        <x:v>https://commons.wikimedia.org/wiki/File:Kampung_Praijing.jpg</x:v>
      </x:c>
      <x:c r="E30" s="19" t="str">
        <x:v>https://commons.wikimedia.org/wiki/Category:Houses_in_Sumba</x:v>
      </x:c>
      <x:c r="F30" s="21" t="str">
        <x:v>Exact Wikimedia Commons</x:v>
      </x:c>
      <x:c r="G30" s="21" t="str">
        <x:v>À vérifier (CC BY-SA)</x:v>
      </x:c>
      <x:c r="H30" s="21" t="str">
        <x:v>Lieu indiqué explicitement</x:v>
      </x:c>
      <x:c r="I30" s="21" t="str">
        <x:v>Image haute résolution avec auteur et licence.</x:v>
      </x:c>
      <x:c r="J30" s="20" t="str">
        <x:v>À vérifier</x:v>
      </x:c>
    </x:row>
    <x:row r="31" ht="44" customHeight="1">
      <x:c r="A31" s="19" t="str">
        <x:v>Prailiang</x:v>
      </x:c>
      <x:c r="B31" s="20" t="n">
        <x:v>1</x:v>
      </x:c>
      <x:c r="C31" s="19" t="str">
        <x:v>https://unsplash.com/s/photos/prailiang-village-sumba</x:v>
      </x:c>
      <x:c r="D31" s="19" t="str"/>
      <x:c r="E31" s="19" t="str">
        <x:v>https://www.travelfish.org/sight_profile/indonesia/east_nusa_tenggara/sumba/waingapu/3704</x:v>
      </x:c>
      <x:c r="F31" s="21" t="str">
        <x:v>Exact source autre</x:v>
      </x:c>
      <x:c r="G31" s="21" t="str">
        <x:v>Droits à demander</x:v>
      </x:c>
      <x:c r="H31" s="21" t="str">
        <x:v>Lieu indiqué explicitement</x:v>
      </x:c>
      <x:c r="I31" s="21" t="str">
        <x:v>Utiliser la page comme référence visuelle uniquement.</x:v>
      </x:c>
      <x:c r="J31" s="20" t="str">
        <x:v>À vérifier</x:v>
      </x:c>
    </x:row>
    <x:row r="32" ht="44" customHeight="1">
      <x:c r="A32" s="19" t="str">
        <x:v>Praiyawang</x:v>
      </x:c>
      <x:c r="B32" s="20" t="n">
        <x:v>3</x:v>
      </x:c>
      <x:c r="C32" s="19" t="str">
        <x:v>https://unsplash.com/s/photos/praiyawang-village-sumba</x:v>
      </x:c>
      <x:c r="D32" s="19" t="str"/>
      <x:c r="E32" s="19" t="str">
        <x:v>https://repository.karyailmiah.trisakti.ac.id/documents/repository/artikel_maria-immaculata-ririk-winandari-the-meaning-of-public-open-space-in-traditional-villages-and-contemporary-residential-areas-in-sumba-island.pdf</x:v>
      </x:c>
      <x:c r="F32" s="21" t="str">
        <x:v>Exact source autre</x:v>
      </x:c>
      <x:c r="G32" s="21" t="str">
        <x:v>Droits à vérifier</x:v>
      </x:c>
      <x:c r="H32" s="21" t="str">
        <x:v>Lieu indiqué explicitement</x:v>
      </x:c>
      <x:c r="I32" s="21" t="str">
        <x:v>Document universitaire avec une vue du village.</x:v>
      </x:c>
      <x:c r="J32" s="20" t="str">
        <x:v>À vérifier</x:v>
      </x:c>
    </x:row>
    <x:row r="33" ht="44" customHeight="1">
      <x:c r="A33" s="19" t="str">
        <x:v>Purukambera</x:v>
      </x:c>
      <x:c r="B33" s="20" t="n">
        <x:v>3</x:v>
      </x:c>
      <x:c r="C33" s="19" t="str">
        <x:v>https://unsplash.com/s/photos/purukambera-sumba</x:v>
      </x:c>
      <x:c r="D33" s="19" t="str">
        <x:v>https://commons.wikimedia.org/wiki/File:Purukambera.jpg</x:v>
      </x:c>
      <x:c r="E33" s="19" t="str">
        <x:v>https://www.piqsels.com/id/search?q=purukambera</x:v>
      </x:c>
      <x:c r="F33" s="21" t="str">
        <x:v>Exact Wikimedia Commons</x:v>
      </x:c>
      <x:c r="G33" s="21" t="str">
        <x:v>À vérifier (CC BY-SA)</x:v>
      </x:c>
      <x:c r="H33" s="21" t="str">
        <x:v>Lieu indiqué explicitement</x:v>
      </x:c>
      <x:c r="I33" s="21" t="str">
        <x:v>Wikimedia propose une savane exacte ; Piqsels annonce aussi du domaine public.</x:v>
      </x:c>
      <x:c r="J33" s="20" t="str">
        <x:v>À vérifier</x:v>
      </x:c>
    </x:row>
    <x:row r="34" ht="44" customHeight="1">
      <x:c r="A34" s="19" t="str">
        <x:v>Ratenggaro</x:v>
      </x:c>
      <x:c r="B34" s="20" t="n">
        <x:v>3</x:v>
      </x:c>
      <x:c r="C34" s="19" t="str">
        <x:v>https://unsplash.com/s/photos/ratenggaro-village-sumba</x:v>
      </x:c>
      <x:c r="D34" s="19" t="str">
        <x:v>https://unsplash.com/photos/traditional-thatched-roof-houses-in-a-village-lEqszpHEWD4</x:v>
      </x:c>
      <x:c r="E34" s="19" t="str"/>
      <x:c r="F34" s="21" t="str">
        <x:v>Exact Unsplash</x:v>
      </x:c>
      <x:c r="G34" s="21" t="str">
        <x:v>À vérifier sur la page Unsplash</x:v>
      </x:c>
      <x:c r="H34" s="21" t="str">
        <x:v>Ratenggaro indiqué explicitement</x:v>
      </x:c>
      <x:c r="I34" s="21" t="str">
        <x:v>Bon candidat principal pour le village.</x:v>
      </x:c>
      <x:c r="J34" s="20" t="str">
        <x:v>À vérifier</x:v>
      </x:c>
    </x:row>
    <x:row r="35" ht="44" customHeight="1">
      <x:c r="A35" s="19" t="str">
        <x:v>Sel Katewel</x:v>
      </x:c>
      <x:c r="B35" s="20" t="n">
        <x:v>1</x:v>
      </x:c>
      <x:c r="C35" s="19" t="str">
        <x:v>https://unsplash.com/s/photos/sel-katewel-sumba</x:v>
      </x:c>
      <x:c r="D35" s="19" t="str"/>
      <x:c r="E35" s="19" t="str"/>
      <x:c r="F35" s="21" t="str">
        <x:v>Aucun résultat exact</x:v>
      </x:c>
      <x:c r="G35" s="21" t="str">
        <x:v>Non applicable</x:v>
      </x:c>
      <x:c r="H35" s="21" t="str">
        <x:v>À confirmer</x:v>
      </x:c>
      <x:c r="I35" s="21" t="str">
        <x:v>Aucun résultat exact trouvé ; vérifier l’orthographe et les coordonnées.</x:v>
      </x:c>
      <x:c r="J35" s="20" t="str">
        <x:v>À vérifier</x:v>
      </x:c>
    </x:row>
    <x:row r="36" ht="44" customHeight="1">
      <x:c r="A36" s="19" t="str">
        <x:v>Talasi</x:v>
      </x:c>
      <x:c r="B36" s="20" t="n">
        <x:v>1</x:v>
      </x:c>
      <x:c r="C36" s="19" t="str">
        <x:v>https://unsplash.com/s/photos/talasi-sumba</x:v>
      </x:c>
      <x:c r="D36" s="19" t="str"/>
      <x:c r="E36" s="19" t="str">
        <x:v>https://capkaroso.com/wp-content/uploads/2026/01/1-DIGITAL_CAP-KAROSO-EXPERIENCES-GUIDE-JULY-2025.pdf</x:v>
      </x:c>
      <x:c r="F36" s="21" t="str">
        <x:v>Exact source autre</x:v>
      </x:c>
      <x:c r="G36" s="21" t="str">
        <x:v>Droits à demander</x:v>
      </x:c>
      <x:c r="H36" s="21" t="str">
        <x:v>Talasi Cashew Farm mentionné</x:v>
      </x:c>
      <x:c r="I36" s="21" t="str">
        <x:v>Demander directement des photos à Talasi ou au client.</x:v>
      </x:c>
      <x:c r="J36" s="20" t="str">
        <x:v>À vérifier</x:v>
      </x:c>
    </x:row>
    <x:row r="37" ht="44" customHeight="1">
      <x:c r="A37" s="19" t="str">
        <x:v>Tanarara</x:v>
      </x:c>
      <x:c r="B37" s="20" t="n">
        <x:v>3</x:v>
      </x:c>
      <x:c r="C37" s="19" t="str">
        <x:v>https://unsplash.com/s/photos/tanarara-hill-sumba</x:v>
      </x:c>
      <x:c r="D37" s="19" t="str"/>
      <x:c r="E37" s="19" t="str">
        <x:v>https://www.tobamuslimtour.co.id/savanna-tanarara-sumba-timur-hamparan/</x:v>
      </x:c>
      <x:c r="F37" s="21" t="str">
        <x:v>Exact source autre</x:v>
      </x:c>
      <x:c r="G37" s="21" t="str">
        <x:v>Droits à demander</x:v>
      </x:c>
      <x:c r="H37" s="21" t="str">
        <x:v>Lieu indiqué explicitement</x:v>
      </x:c>
      <x:c r="I37" s="21" t="str">
        <x:v>Le résultat Unsplash repéré ailleurs était une illustration, pas le vrai lieu.</x:v>
      </x:c>
      <x:c r="J37" s="20" t="str">
        <x:v>À vérifier</x:v>
      </x:c>
    </x:row>
    <x:row r="38" ht="44" customHeight="1">
      <x:c r="A38" s="19" t="str">
        <x:v>Tanggedu</x:v>
      </x:c>
      <x:c r="B38" s="20" t="n">
        <x:v>3</x:v>
      </x:c>
      <x:c r="C38" s="19" t="str">
        <x:v>https://unsplash.com/s/photos/tanggedu-waterfall-sumba</x:v>
      </x:c>
      <x:c r="D38" s="19" t="str">
        <x:v>https://commons.wikimedia.org/wiki/File:Tanggedu_Waterfall.jpg</x:v>
      </x:c>
      <x:c r="E38" s="19" t="str">
        <x:v>https://sumbamap.com/blog/air-terjun-tanggedu</x:v>
      </x:c>
      <x:c r="F38" s="21" t="str">
        <x:v>Exact Wikimedia Commons</x:v>
      </x:c>
      <x:c r="G38" s="21" t="str">
        <x:v>À vérifier (CC BY-SA 3.0)</x:v>
      </x:c>
      <x:c r="H38" s="21" t="str">
        <x:v>Lieu indiqué explicitement</x:v>
      </x:c>
      <x:c r="I38" s="21" t="str">
        <x:v>Photo exacte et fichier original disponibles sur Commons.</x:v>
      </x:c>
      <x:c r="J38" s="20" t="str">
        <x:v>À vérifier</x:v>
      </x:c>
    </x:row>
    <x:row r="39" ht="44" customHeight="1">
      <x:c r="A39" s="19" t="str">
        <x:v>Tanjung Mareha</x:v>
      </x:c>
      <x:c r="B39" s="20" t="n">
        <x:v>1</x:v>
      </x:c>
      <x:c r="C39" s="19" t="str">
        <x:v>https://unsplash.com/s/photos/tanjung-mareha-sumba</x:v>
      </x:c>
      <x:c r="D39" s="19" t="str"/>
      <x:c r="E39" s="19" t="str">
        <x:v>https://capkaroso.com/wp-content/uploads/2025/04/CAP-KAROSO-EXPERIENCES-GUIDE-2025.pdf</x:v>
      </x:c>
      <x:c r="F39" s="21" t="str">
        <x:v>Exact source autre</x:v>
      </x:c>
      <x:c r="G39" s="21" t="str">
        <x:v>Droits à demander</x:v>
      </x:c>
      <x:c r="H39" s="21" t="str">
        <x:v>Lieu indiqué explicitement</x:v>
      </x:c>
      <x:c r="I39" s="21" t="str">
        <x:v>Photo de référence dans un guide touristique.</x:v>
      </x:c>
      <x:c r="J39" s="20" t="str">
        <x:v>À vérifier</x:v>
      </x:c>
    </x:row>
    <x:row r="40" ht="44" customHeight="1">
      <x:c r="A40" s="19" t="str">
        <x:v>Tarimbang</x:v>
      </x:c>
      <x:c r="B40" s="20" t="n">
        <x:v>3</x:v>
      </x:c>
      <x:c r="C40" s="19" t="str">
        <x:v>https://unsplash.com/s/photos/tarimbang-beach-sumba</x:v>
      </x:c>
      <x:c r="D40" s="19" t="str"/>
      <x:c r="E40" s="19" t="str">
        <x:v>https://www.travelfish.org/location/indonesia/east_nusa_tenggara/sumba/tarimbang</x:v>
      </x:c>
      <x:c r="F40" s="21" t="str">
        <x:v>Exact source autre</x:v>
      </x:c>
      <x:c r="G40" s="21" t="str">
        <x:v>Droits à demander</x:v>
      </x:c>
      <x:c r="H40" s="21" t="str">
        <x:v>Lieu indiqué explicitement</x:v>
      </x:c>
      <x:c r="I40" s="21" t="str">
        <x:v>Page de repérage, pas de licence de réutilisation.</x:v>
      </x:c>
      <x:c r="J40" s="20" t="str">
        <x:v>À vérifier</x:v>
      </x:c>
    </x:row>
    <x:row r="41" ht="44" customHeight="1">
      <x:c r="A41" s="19" t="str">
        <x:v>Tarung</x:v>
      </x:c>
      <x:c r="B41" s="20" t="n">
        <x:v>3</x:v>
      </x:c>
      <x:c r="C41" s="19" t="str">
        <x:v>https://unsplash.com/s/photos/tarung-village-sumba</x:v>
      </x:c>
      <x:c r="D41" s="19" t="str"/>
      <x:c r="E41" s="19" t="str">
        <x:v>https://sumba.travel/sumba-places/culture/tarung-village-sumba/</x:v>
      </x:c>
      <x:c r="F41" s="21" t="str">
        <x:v>Exact source autre</x:v>
      </x:c>
      <x:c r="G41" s="21" t="str">
        <x:v>Droits à demander</x:v>
      </x:c>
      <x:c r="H41" s="21" t="str">
        <x:v>Lieu indiqué explicitement</x:v>
      </x:c>
      <x:c r="I41" s="21" t="str">
        <x:v>Photo exacte visible ; contacter le propriétaire pour l’usage.</x:v>
      </x:c>
      <x:c r="J41" s="20" t="str">
        <x:v>À vérifier</x:v>
      </x:c>
    </x:row>
    <x:row r="42" ht="44" customHeight="1">
      <x:c r="A42" s="19" t="str">
        <x:v>Tenau</x:v>
      </x:c>
      <x:c r="B42" s="20" t="n">
        <x:v>1</x:v>
      </x:c>
      <x:c r="C42" s="19" t="str">
        <x:v>https://unsplash.com/s/photos/tenau-hill-sumba</x:v>
      </x:c>
      <x:c r="D42" s="19" t="str">
        <x:v>https://unsplash.com/photos/green-hills-under-sun-set-Q5QLRocW2W4</x:v>
      </x:c>
      <x:c r="E42" s="19" t="str"/>
      <x:c r="F42" s="21" t="str">
        <x:v>Exact Unsplash</x:v>
      </x:c>
      <x:c r="G42" s="21" t="str">
        <x:v>À vérifier sur la page Unsplash</x:v>
      </x:c>
      <x:c r="H42" s="21" t="str">
        <x:v>Tenau Sumba Hill indiqué</x:v>
      </x:c>
      <x:c r="I42" s="21" t="str">
        <x:v>Candidat exact pour les collines de Tenau.</x:v>
      </x:c>
      <x:c r="J42" s="20" t="str">
        <x:v>À vérifier</x:v>
      </x:c>
    </x:row>
    <x:row r="43" ht="44" customHeight="1">
      <x:c r="A43" s="19" t="str">
        <x:v>Waigali</x:v>
      </x:c>
      <x:c r="B43" s="20" t="n">
        <x:v>1</x:v>
      </x:c>
      <x:c r="C43" s="19" t="str">
        <x:v>https://unsplash.com/s/photos/waigali-village-sumba</x:v>
      </x:c>
      <x:c r="D43" s="19" t="str"/>
      <x:c r="E43" s="19" t="str">
        <x:v>https://www.molon.de/galleries/Indonesia/NusaTenggara/Sumba/Praijing/</x:v>
      </x:c>
      <x:c r="F43" s="21" t="str">
        <x:v>Aucun résultat exact</x:v>
      </x:c>
      <x:c r="G43" s="21" t="str">
        <x:v>Non applicable</x:v>
      </x:c>
      <x:c r="H43" s="21" t="str">
        <x:v>À confirmer</x:v>
      </x:c>
      <x:c r="I43" s="21" t="str">
        <x:v>La galerie mentionne Waigalli mais il faut retrouver la page exacte et sa licence.</x:v>
      </x:c>
      <x:c r="J43" s="20" t="str">
        <x:v>À vérifier</x:v>
      </x:c>
    </x:row>
    <x:row r="44" ht="44" customHeight="1">
      <x:c r="A44" s="19" t="str">
        <x:v>Waikelo</x:v>
      </x:c>
      <x:c r="B44" s="20" t="n">
        <x:v>2</x:v>
      </x:c>
      <x:c r="C44" s="19" t="str">
        <x:v>https://unsplash.com/s/photos/waikelo-sumba</x:v>
      </x:c>
      <x:c r="D44" s="19" t="str"/>
      <x:c r="E44" s="19" t="str"/>
      <x:c r="F44" s="21" t="str">
        <x:v>Aucun résultat exact</x:v>
      </x:c>
      <x:c r="G44" s="21" t="str">
        <x:v>Non applicable</x:v>
      </x:c>
      <x:c r="H44" s="21" t="str">
        <x:v>À confirmer</x:v>
      </x:c>
      <x:c r="I44" s="21" t="str">
        <x:v>Distinguer le port de Waikelo et Waikelo Sawah avant la recherche.</x:v>
      </x:c>
      <x:c r="J44" s="20" t="str">
        <x:v>À vérifier</x:v>
      </x:c>
    </x:row>
    <x:row r="45" ht="44" customHeight="1">
      <x:c r="A45" s="19" t="str">
        <x:v>Waikelo Sawah</x:v>
      </x:c>
      <x:c r="B45" s="20" t="n">
        <x:v>1</x:v>
      </x:c>
      <x:c r="C45" s="19" t="str">
        <x:v>https://unsplash.com/s/photos/waikelo-sawah-sumba</x:v>
      </x:c>
      <x:c r="D45" s="19" t="str"/>
      <x:c r="E45" s="19" t="str">
        <x:v>https://indonesiakaya.com/pustaka-indonesia/waikelo-sawah-sumber-mata-air-yang-tak-pernah-kering-di-sumba/</x:v>
      </x:c>
      <x:c r="F45" s="21" t="str">
        <x:v>Exact source autre</x:v>
      </x:c>
      <x:c r="G45" s="21" t="str">
        <x:v>Droits à demander</x:v>
      </x:c>
      <x:c r="H45" s="21" t="str">
        <x:v>Lieu indiqué explicitement</x:v>
      </x:c>
      <x:c r="I45" s="21" t="str">
        <x:v>Référence exacte ; aucune licence de réutilisation visible.</x:v>
      </x:c>
      <x:c r="J45" s="20" t="str">
        <x:v>À vérifier</x:v>
      </x:c>
    </x:row>
    <x:row r="46" ht="44" customHeight="1">
      <x:c r="A46" s="19" t="str">
        <x:v>Wailang</x:v>
      </x:c>
      <x:c r="B46" s="20" t="n">
        <x:v>1</x:v>
      </x:c>
      <x:c r="C46" s="19" t="str">
        <x:v>https://unsplash.com/s/photos/wailang-sumba</x:v>
      </x:c>
      <x:c r="D46" s="19" t="str"/>
      <x:c r="E46" s="19" t="str"/>
      <x:c r="F46" s="21" t="str">
        <x:v>Aucun résultat exact</x:v>
      </x:c>
      <x:c r="G46" s="21" t="str">
        <x:v>Non applicable</x:v>
      </x:c>
      <x:c r="H46" s="21" t="str">
        <x:v>À confirmer</x:v>
      </x:c>
      <x:c r="I46" s="21" t="str">
        <x:v>Aucun résultat exact trouvé ; vérifier l’orthographe avec le client.</x:v>
      </x:c>
      <x:c r="J46" s="20" t="str">
        <x:v>À vérifier</x:v>
      </x:c>
    </x:row>
    <x:row r="47" ht="44" customHeight="1">
      <x:c r="A47" s="19" t="str">
        <x:v>Waimarang</x:v>
      </x:c>
      <x:c r="B47" s="20" t="n">
        <x:v>3</x:v>
      </x:c>
      <x:c r="C47" s="19" t="str">
        <x:v>https://unsplash.com/s/photos/waimarang-waterfall-sumba</x:v>
      </x:c>
      <x:c r="D47" s="19" t="str"/>
      <x:c r="E47" s="19" t="str">
        <x:v>https://www.shutterstock.com/image-photo/image-waimarang-waterfall-located-east-sumba-2307703865</x:v>
      </x:c>
      <x:c r="F47" s="21" t="str">
        <x:v>Exact source autre</x:v>
      </x:c>
      <x:c r="G47" s="21" t="str">
        <x:v>Payante / licence à acheter</x:v>
      </x:c>
      <x:c r="H47" s="21" t="str">
        <x:v>Lieu indiqué explicitement</x:v>
      </x:c>
      <x:c r="I47" s="21" t="str">
        <x:v>Photo exacte disponible sous licence commerciale payante.</x:v>
      </x:c>
      <x:c r="J47" s="20" t="str">
        <x:v>À vérifier</x:v>
      </x:c>
    </x:row>
    <x:row r="48" ht="44" customHeight="1">
      <x:c r="A48" s="19" t="str">
        <x:v>Wairinding</x:v>
      </x:c>
      <x:c r="B48" s="20" t="n">
        <x:v>3</x:v>
      </x:c>
      <x:c r="C48" s="19" t="str">
        <x:v>https://unsplash.com/s/photos/wairinding-hill-sumba</x:v>
      </x:c>
      <x:c r="D48" s="19" t="str">
        <x:v>https://unsplash.com/photos/man-jumping-in-the-air-at-sunset-UT52qv5TYRM</x:v>
      </x:c>
      <x:c r="E48" s="19" t="str">
        <x:v>https://unsplash.com/s/photos/wairinding-sumba</x:v>
      </x:c>
      <x:c r="F48" s="21" t="str">
        <x:v>Exact Unsplash</x:v>
      </x:c>
      <x:c r="G48" s="21" t="str">
        <x:v>À vérifier sur la page Unsplash</x:v>
      </x:c>
      <x:c r="H48" s="21" t="str">
        <x:v>Lieu et coordonnées indiqués</x:v>
      </x:c>
      <x:c r="I48" s="21" t="str">
        <x:v>Photo exacte, mais une personne est visible.</x:v>
      </x:c>
      <x:c r="J48" s="20" t="str">
        <x:v>À vérifier</x:v>
      </x:c>
    </x:row>
    <x:row r="49" ht="44" customHeight="1">
      <x:c r="A49" s="19" t="str">
        <x:v>Walakiri</x:v>
      </x:c>
      <x:c r="B49" s="20" t="n">
        <x:v>3</x:v>
      </x:c>
      <x:c r="C49" s="19" t="str">
        <x:v>https://unsplash.com/s/photos/walakiri-beach-sumba</x:v>
      </x:c>
      <x:c r="D49" s="19" t="str">
        <x:v>https://unsplash.com/photos/brown-tree-on-body-of-water-during-daytime-z85gD0sTOQ0</x:v>
      </x:c>
      <x:c r="E49" s="19" t="str">
        <x:v>https://unsplash.com/photos/a-tree-that-is-standing-in-the-water-oUVb7i4v7Es</x:v>
      </x:c>
      <x:c r="F49" s="21" t="str">
        <x:v>Exact Unsplash</x:v>
      </x:c>
      <x:c r="G49" s="21" t="str">
        <x:v>À vérifier sur chaque page Unsplash</x:v>
      </x:c>
      <x:c r="H49" s="21" t="str">
        <x:v>Lieu et coordonnées indiqués</x:v>
      </x:c>
      <x:c r="I49" s="21" t="str">
        <x:v>Plusieurs candidats exacts sont disponibles sur Unsplash.</x:v>
      </x:c>
      <x:c r="J49" s="20" t="str">
        <x:v>À vérifier</x:v>
      </x:c>
    </x:row>
    <x:row r="50" ht="44" customHeight="1">
      <x:c r="A50" s="19" t="str">
        <x:v>Waruwora</x:v>
      </x:c>
      <x:c r="B50" s="20" t="n">
        <x:v>1</x:v>
      </x:c>
      <x:c r="C50" s="19" t="str">
        <x:v>https://unsplash.com/s/photos/waruwora-village-sumba</x:v>
      </x:c>
      <x:c r="D50" s="19" t="str">
        <x:v>https://commons.wikimedia.org/wiki/File:Waruwora_Traditional_Village.jpg</x:v>
      </x:c>
      <x:c r="E50" s="19" t="str">
        <x:v>https://en.wikipedia.org/wiki/2025_Waru_Wora_Traditional_Village_fire</x:v>
      </x:c>
      <x:c r="F50" s="21" t="str">
        <x:v>Exact Wikimedia Commons</x:v>
      </x:c>
      <x:c r="G50" s="21" t="str">
        <x:v>À vérifier (CC BY-SA 4.0)</x:v>
      </x:c>
      <x:c r="H50" s="21" t="str">
        <x:v>Lieu indiqué explicitement</x:v>
      </x:c>
      <x:c r="I50" s="21" t="str">
        <x:v>Attention : un incendie majeur a détruit 28 maisons en décembre 2025 ; vérifier l’actualité de la photo.</x:v>
      </x:c>
      <x:c r="J50" s="20" t="str">
        <x:v>À vérifier</x:v>
      </x:c>
    </x:row>
    <x:row r="51" ht="44" customHeight="1">
      <x:c r="A51" s="19" t="str">
        <x:v>Watu Hadang</x:v>
      </x:c>
      <x:c r="B51" s="20" t="n">
        <x:v>1</x:v>
      </x:c>
      <x:c r="C51" s="19" t="str">
        <x:v>https://unsplash.com/s/photos/watu-hadang-sumba</x:v>
      </x:c>
      <x:c r="D51" s="19" t="str"/>
      <x:c r="E51" s="19" t="str">
        <x:v>https://palmer-keen.squarespace.com/auralarchipelago/hina</x:v>
      </x:c>
      <x:c r="F51" s="21" t="str">
        <x:v>Exact source autre</x:v>
      </x:c>
      <x:c r="G51" s="21" t="str">
        <x:v>Droits à demander</x:v>
      </x:c>
      <x:c r="H51" s="21" t="str">
        <x:v>Lieu indiqué explicitement</x:v>
      </x:c>
      <x:c r="I51" s="21" t="str">
        <x:v>Référence documentaire, pas une banque d’images libre.</x:v>
      </x:c>
      <x:c r="J51" s="20" t="str">
        <x:v>À vérifier</x:v>
      </x:c>
    </x:row>
    <x:row r="52" ht="44" customHeight="1">
      <x:c r="A52" s="19" t="str">
        <x:v>Watubella</x:v>
      </x:c>
      <x:c r="B52" s="20" t="n">
        <x:v>1</x:v>
      </x:c>
      <x:c r="C52" s="19" t="str">
        <x:v>https://unsplash.com/s/photos/watubella-beach-sumba</x:v>
      </x:c>
      <x:c r="D52" s="19" t="str"/>
      <x:c r="E52" s="19" t="str">
        <x:v>https://www.shutterstock.com/g/dirjo%2Bimage</x:v>
      </x:c>
      <x:c r="F52" s="21" t="str">
        <x:v>Exact source autre</x:v>
      </x:c>
      <x:c r="G52" s="21" t="str">
        <x:v>Payante / licence à acheter</x:v>
      </x:c>
      <x:c r="H52" s="21" t="str">
        <x:v>Lieu indiqué explicitement</x:v>
      </x:c>
      <x:c r="I52" s="21" t="str">
        <x:v>Plusieurs photos commerciales exactes sont listées.</x:v>
      </x:c>
      <x:c r="J52" s="20" t="str">
        <x:v>À vérifier</x:v>
      </x:c>
    </x:row>
    <x:row r="53" ht="44" customHeight="1">
      <x:c r="A53" s="19" t="str">
        <x:v>Watuparunu</x:v>
      </x:c>
      <x:c r="B53" s="20" t="n">
        <x:v>1</x:v>
      </x:c>
      <x:c r="C53" s="19" t="str">
        <x:v>https://unsplash.com/s/photos/watuparunu-beach-sumba</x:v>
      </x:c>
      <x:c r="D53" s="19" t="str">
        <x:v>https://unsplash.com/photos/a-large-rock-with-a-tree-growing-out-of-it-WUzA9NbnMxI</x:v>
      </x:c>
      <x:c r="E53" s="19" t="str">
        <x:v>https://sumba.travel/sumba-places/beach/watuparunu-beach-sumba/</x:v>
      </x:c>
      <x:c r="F53" s="21" t="str">
        <x:v>Exact Unsplash</x:v>
      </x:c>
      <x:c r="G53" s="21" t="str">
        <x:v>À vérifier sur la page Unsplash</x:v>
      </x:c>
      <x:c r="H53" s="21" t="str">
        <x:v>Lieu et coordonnées indiqués</x:v>
      </x:c>
      <x:c r="I53" s="21" t="str">
        <x:v>Candidat exact et géolocalisé.</x:v>
      </x:c>
      <x:c r="J53" s="20" t="str">
        <x:v>À vérifier</x:v>
      </x:c>
    </x:row>
    <x:row r="54" ht="44" customHeight="1">
      <x:c r="A54" s="19" t="str">
        <x:v>Weekacura</x:v>
      </x:c>
      <x:c r="B54" s="20" t="n">
        <x:v>3</x:v>
      </x:c>
      <x:c r="C54" s="19" t="str">
        <x:v>https://unsplash.com/s/photos/weekacura-waterfall-sumba</x:v>
      </x:c>
      <x:c r="D54" s="19" t="str"/>
      <x:c r="E54" s="19" t="str">
        <x:v>https://www.flickr.com/photos/tags/weekacura/</x:v>
      </x:c>
      <x:c r="F54" s="21" t="str">
        <x:v>Exact source autre</x:v>
      </x:c>
      <x:c r="G54" s="21" t="str">
        <x:v>Souvent tous droits réservés</x:v>
      </x:c>
      <x:c r="H54" s="21" t="str">
        <x:v>Lieu indiqué explicitement</x:v>
      </x:c>
      <x:c r="I54" s="21" t="str">
        <x:v>Utiliser seulement les images dont la licence autorise réellement l’usage commercial.</x:v>
      </x:c>
      <x:c r="J54" s="20" t="str">
        <x:v>À vérifier</x:v>
      </x:c>
    </x:row>
    <x:row r="55" ht="44" customHeight="1">
      <x:c r="A55" s="19" t="str">
        <x:v>Weekuri</x:v>
      </x:c>
      <x:c r="B55" s="20" t="n">
        <x:v>3</x:v>
      </x:c>
      <x:c r="C55" s="19" t="str">
        <x:v>https://unsplash.com/s/photos/weekuri-lagoon-sumba</x:v>
      </x:c>
      <x:c r="D55" s="19" t="str">
        <x:v>https://commons.wikimedia.org/wiki/Category:Lake_Weekuri</x:v>
      </x:c>
      <x:c r="E55" s="19" t="str">
        <x:v>https://commons.wikimedia.org/wiki/File:Danau_Weekuri_Sumba.jpg</x:v>
      </x:c>
      <x:c r="F55" s="21" t="str">
        <x:v>Exact Wikimedia Commons</x:v>
      </x:c>
      <x:c r="G55" s="21" t="str">
        <x:v>À vérifier fichier par fichier</x:v>
      </x:c>
      <x:c r="H55" s="21" t="str">
        <x:v>Lieu et coordonnées indiqués</x:v>
      </x:c>
      <x:c r="I55" s="21" t="str">
        <x:v>La catégorie Commons contient plusieurs photos exactes.</x:v>
      </x:c>
      <x:c r="J55" s="20" t="str">
        <x:v>À vérifier</x:v>
      </x:c>
    </x:row>
    <x:row r="56" ht="44" customHeight="1">
      <x:c r="A56" s="19" t="str">
        <x:v>Welimbu</x:v>
      </x:c>
      <x:c r="B56" s="20" t="n">
        <x:v>1</x:v>
      </x:c>
      <x:c r="C56" s="19" t="str">
        <x:v>https://unsplash.com/s/photos/welimbu-sumba</x:v>
      </x:c>
      <x:c r="D56" s="19" t="str"/>
      <x:c r="E56" s="19" t="str"/>
      <x:c r="F56" s="21" t="str">
        <x:v>Aucun résultat exact</x:v>
      </x:c>
      <x:c r="G56" s="21" t="str">
        <x:v>Non applicable</x:v>
      </x:c>
      <x:c r="H56" s="21" t="str">
        <x:v>À confirmer</x:v>
      </x:c>
      <x:c r="I56" s="21" t="str">
        <x:v>Aucun résultat exact trouvé ; demander les coordonnées exactes.</x:v>
      </x:c>
      <x:c r="J56" s="20" t="str">
        <x:v>À vérifier</x:v>
      </x:c>
    </x:row>
  </x:sheetData>
  <x:mergeCells>
    <x:mergeCell ref="A2:J2"/>
    <x:mergeCell ref="A3:J3"/>
  </x:mergeCells>
  <x:conditionalFormatting sqref="F9:F56">
    <x:cfRule type="containsText" dxfId="0" priority="1" operator="containsText" text="Exact Unsplash"/>
    <x:cfRule type="containsText" dxfId="1" priority="2" operator="containsText" text="Exact Wikimedia"/>
    <x:cfRule type="containsText" dxfId="2" priority="3" operator="containsText" text="Exact source autre"/>
    <x:cfRule type="containsText" dxfId="3" priority="4" operator="containsText" text="Aucun résultat exact"/>
  </x:conditionalFormatting>
  <x:conditionalFormatting sqref="J9:J56">
    <x:cfRule type="containsText" dxfId="4" priority="5" operator="containsText" text="Licence validée"/>
    <x:cfRule type="containsText" dxfId="5" priority="6" operator="containsText" text="Refusée"/>
  </x:conditionalFormatting>
  <x:dataValidations count="1">
    <x:dataValidation type="list" sqref="J9:J56">
      <x:formula1>"À vérifier,Licence validée,Refusée,Photo reçue du client"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7505de780b4f0c"/>
  </x:tableParts>
</x:worksheet>
</file>